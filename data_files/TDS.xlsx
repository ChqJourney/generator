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650" windowHeight="13120" tabRatio="504"/>
  </bookViews>
  <sheets>
    <sheet name="100W-5000K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<sst xmlns="http://schemas.openxmlformats.org/spreadsheetml/2006/main" count="93" uniqueCount="76">
  <si>
    <t>Test Plan / Test Record</t>
  </si>
  <si>
    <t>COMMISSION REGULATION (EU) 2019/2020</t>
  </si>
  <si>
    <t>测试周期</t>
  </si>
  <si>
    <t>0H</t>
  </si>
  <si>
    <t>2025-04-21-2025-05-12</t>
  </si>
  <si>
    <t>3600H</t>
  </si>
  <si>
    <t>2025-05-12-2025-10-13</t>
  </si>
  <si>
    <t>Sample Name:</t>
  </si>
  <si>
    <t>Highbay module</t>
  </si>
  <si>
    <t>Model name:</t>
  </si>
  <si>
    <t>230V-100W 5000K</t>
  </si>
  <si>
    <t>Ambient temp.:</t>
  </si>
  <si>
    <r>
      <rPr>
        <sz val="10"/>
        <color theme="1"/>
        <rFont val="Arial"/>
        <charset val="134"/>
      </rPr>
      <t>25.1</t>
    </r>
    <r>
      <rPr>
        <sz val="10"/>
        <color theme="1"/>
        <rFont val="Segoe UI Symbol"/>
        <charset val="134"/>
      </rPr>
      <t>℃</t>
    </r>
  </si>
  <si>
    <t>Report No.:</t>
  </si>
  <si>
    <t>N25LEDGW18601</t>
  </si>
  <si>
    <t>给出对应时间的报告时，一并填写测试周期</t>
  </si>
  <si>
    <t>Client:</t>
  </si>
  <si>
    <t xml:space="preserve"> /</t>
  </si>
  <si>
    <t>Order No.:</t>
  </si>
  <si>
    <t>/</t>
  </si>
  <si>
    <t>LED灯数据填写</t>
  </si>
  <si>
    <t>No.</t>
  </si>
  <si>
    <t>Measured voltage(V)</t>
  </si>
  <si>
    <t>Measured current (A)</t>
  </si>
  <si>
    <t>Measured Pon(W)</t>
  </si>
  <si>
    <t xml:space="preserve">Initial Ponmax </t>
  </si>
  <si>
    <t>Initial Φuse (lm)</t>
  </si>
  <si>
    <t xml:space="preserve">Psb </t>
  </si>
  <si>
    <t>Efficancy</t>
  </si>
  <si>
    <t xml:space="preserve">R </t>
  </si>
  <si>
    <t>Lamp survival factor at 3600H</t>
  </si>
  <si>
    <t xml:space="preserve">Lumen flux at 3600H             </t>
  </si>
  <si>
    <t>Lumen maintenance at 3600H</t>
  </si>
  <si>
    <t>Colour rendering (CRI)</t>
  </si>
  <si>
    <t>Displacement factor(DF)</t>
  </si>
  <si>
    <t>Colour consistency</t>
  </si>
  <si>
    <t>Flicker(Pst LM)</t>
  </si>
  <si>
    <t>Stroboscopic effect(SVM)</t>
  </si>
  <si>
    <t>CCT</t>
  </si>
  <si>
    <t>x</t>
  </si>
  <si>
    <t>y</t>
  </si>
  <si>
    <t>R9</t>
  </si>
  <si>
    <t>1#</t>
  </si>
  <si>
    <t>2#</t>
  </si>
  <si>
    <t>3#</t>
  </si>
  <si>
    <t>4#</t>
  </si>
  <si>
    <t>5#</t>
  </si>
  <si>
    <t>6#</t>
  </si>
  <si>
    <t>7#</t>
  </si>
  <si>
    <t>8#</t>
  </si>
  <si>
    <t>9#</t>
  </si>
  <si>
    <t>10#</t>
  </si>
  <si>
    <t>Avg</t>
  </si>
  <si>
    <t>宣称参数</t>
  </si>
  <si>
    <t>AC 230V</t>
  </si>
  <si>
    <t>NA</t>
  </si>
  <si>
    <t>100W</t>
  </si>
  <si>
    <t>≥90%</t>
  </si>
  <si>
    <t>≥96%</t>
  </si>
  <si>
    <t>≥80</t>
  </si>
  <si>
    <r>
      <rPr>
        <sz val="10"/>
        <rFont val="宋体"/>
        <charset val="134"/>
      </rPr>
      <t>≥</t>
    </r>
    <r>
      <rPr>
        <sz val="10"/>
        <rFont val="Arial"/>
        <charset val="134"/>
      </rPr>
      <t xml:space="preserve"> 0.9</t>
    </r>
  </si>
  <si>
    <t>&lt;5</t>
  </si>
  <si>
    <t>≤1.0</t>
  </si>
  <si>
    <t>≤0.4</t>
  </si>
  <si>
    <t>5000K</t>
  </si>
  <si>
    <t>＞0</t>
  </si>
  <si>
    <t xml:space="preserve"> </t>
  </si>
  <si>
    <t>Test current</t>
  </si>
  <si>
    <t>Test frequency</t>
  </si>
  <si>
    <t>50/60Hz</t>
  </si>
  <si>
    <t>Applicant:
Applicant Address</t>
  </si>
  <si>
    <r>
      <rPr>
        <sz val="10"/>
        <color theme="1"/>
        <rFont val="微软雅黑"/>
        <charset val="134"/>
      </rPr>
      <t>调光</t>
    </r>
    <r>
      <rPr>
        <sz val="10"/>
        <color theme="1"/>
        <rFont val="Arial"/>
        <charset val="134"/>
      </rPr>
      <t>/</t>
    </r>
    <r>
      <rPr>
        <sz val="10"/>
        <color theme="1"/>
        <rFont val="微软雅黑"/>
        <charset val="134"/>
      </rPr>
      <t>调功率</t>
    </r>
    <r>
      <rPr>
        <sz val="10"/>
        <color theme="1"/>
        <rFont val="Arial"/>
        <charset val="134"/>
      </rPr>
      <t>/</t>
    </r>
    <r>
      <rPr>
        <sz val="10"/>
        <color theme="1"/>
        <rFont val="微软雅黑"/>
        <charset val="134"/>
      </rPr>
      <t>调色温</t>
    </r>
  </si>
  <si>
    <t>调色温</t>
  </si>
  <si>
    <t>Reviewed by:</t>
  </si>
  <si>
    <t>liuxiao</t>
  </si>
  <si>
    <t>Revision: 2020-03-10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</si>
</sst>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432]yyyy/mm/dd;@"/>
    <numFmt numFmtId="177" formatCode="0.0"/>
    <numFmt numFmtId="178" formatCode="000000"/>
    <numFmt numFmtId="179" formatCode="0.0_);[Red]\(0.0\)"/>
    <numFmt numFmtId="180" formatCode="0.0000"/>
    <numFmt numFmtId="181" formatCode="0.00_);[Red]\(0.00\)"/>
    <numFmt numFmtId="182" formatCode="0.00_ "/>
    <numFmt numFmtId="183" formatCode="0_ "/>
    <numFmt numFmtId="184" formatCode="0.000_ "/>
    <numFmt numFmtId="185" formatCode="0.0000_ "/>
    <numFmt numFmtId="186" formatCode="0.0000_);[Red]\(0.0000\)"/>
    <numFmt numFmtId="187" formatCode="0.000_);[Red]\(0.000\)"/>
    <numFmt numFmtId="188" formatCode="0_);[Red]\(0\)"/>
    <numFmt numFmtId="189" formatCode="yyyy/m/d;@"/>
  </numFmts>
  <fonts count="36">
    <font>
      <sz val="11"/>
      <color theme="1"/>
      <name val="宋体"/>
      <charset val="134"/>
      <scheme val="minor"/>
    </font>
    <font>
      <b/>
      <sz val="14"/>
      <color theme="1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b/>
      <sz val="18"/>
      <color theme="1"/>
      <name val="Arial"/>
      <charset val="134"/>
    </font>
    <font>
      <sz val="10"/>
      <name val="Arial"/>
      <charset val="134"/>
    </font>
    <font>
      <sz val="10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color theme="1"/>
      <name val="Segoe UI Symbol"/>
      <charset val="134"/>
    </font>
    <font>
      <sz val="10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18" applyNumberFormat="0" applyAlignment="0" applyProtection="0">
      <alignment vertical="center"/>
    </xf>
    <xf numFmtId="0" fontId="22" fillId="5" borderId="19" applyNumberFormat="0" applyAlignment="0" applyProtection="0">
      <alignment vertical="center"/>
    </xf>
    <xf numFmtId="0" fontId="23" fillId="5" borderId="18" applyNumberFormat="0" applyAlignment="0" applyProtection="0">
      <alignment vertical="center"/>
    </xf>
    <xf numFmtId="0" fontId="24" fillId="6" borderId="20" applyNumberFormat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7" fillId="0" borderId="0"/>
    <xf numFmtId="0" fontId="32" fillId="0" borderId="0">
      <alignment vertical="center"/>
    </xf>
    <xf numFmtId="0" fontId="33" fillId="0" borderId="0"/>
    <xf numFmtId="0" fontId="33" fillId="0" borderId="0"/>
    <xf numFmtId="176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177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>
      <alignment vertical="center"/>
    </xf>
    <xf numFmtId="0" fontId="33" fillId="0" borderId="0"/>
    <xf numFmtId="0" fontId="33" fillId="0" borderId="0"/>
  </cellStyleXfs>
  <cellXfs count="9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2" borderId="0" xfId="0" applyFill="1" applyProtection="1"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2" fillId="0" borderId="4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2" borderId="5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2" borderId="6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0" fontId="1" fillId="2" borderId="6" xfId="0" applyFont="1" applyFill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4" fontId="0" fillId="2" borderId="0" xfId="0" applyNumberFormat="1" applyFill="1" applyProtection="1"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horizontal="center" vertical="center" wrapText="1"/>
      <protection locked="0"/>
    </xf>
    <xf numFmtId="0" fontId="1" fillId="2" borderId="10" xfId="0" applyFont="1" applyFill="1" applyBorder="1" applyAlignment="1" applyProtection="1">
      <alignment horizontal="center" vertical="center" wrapText="1"/>
      <protection locked="0"/>
    </xf>
    <xf numFmtId="0" fontId="1" fillId="2" borderId="11" xfId="0" applyFont="1" applyFill="1" applyBorder="1" applyAlignment="1" applyProtection="1">
      <alignment horizontal="center" vertical="center" wrapText="1"/>
      <protection locked="0"/>
    </xf>
    <xf numFmtId="0" fontId="2" fillId="2" borderId="12" xfId="0" applyFont="1" applyFill="1" applyBorder="1" applyAlignment="1">
      <alignment horizontal="center" vertical="center"/>
    </xf>
    <xf numFmtId="0" fontId="4" fillId="0" borderId="12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>
      <alignment horizontal="center" vertical="center"/>
    </xf>
    <xf numFmtId="178" fontId="2" fillId="0" borderId="13" xfId="0" applyNumberFormat="1" applyFont="1" applyBorder="1" applyAlignment="1" applyProtection="1">
      <alignment horizontal="center" vertical="center" wrapText="1"/>
      <protection locked="0"/>
    </xf>
    <xf numFmtId="178" fontId="2" fillId="0" borderId="14" xfId="0" applyNumberFormat="1" applyFont="1" applyBorder="1" applyAlignment="1" applyProtection="1">
      <alignment horizontal="center" vertical="center" wrapText="1"/>
      <protection locked="0"/>
    </xf>
    <xf numFmtId="178" fontId="4" fillId="0" borderId="0" xfId="0" applyNumberFormat="1" applyFont="1" applyAlignment="1" applyProtection="1">
      <alignment horizontal="left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  <protection locked="0"/>
    </xf>
    <xf numFmtId="0" fontId="5" fillId="2" borderId="1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2" borderId="12" xfId="0" applyFont="1" applyFill="1" applyBorder="1" applyAlignment="1" applyProtection="1">
      <alignment horizontal="center" vertical="center" wrapText="1"/>
      <protection locked="0"/>
    </xf>
    <xf numFmtId="0" fontId="7" fillId="2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 applyProtection="1">
      <alignment horizontal="center" vertical="center"/>
      <protection locked="0"/>
    </xf>
    <xf numFmtId="0" fontId="3" fillId="2" borderId="12" xfId="0" applyFont="1" applyFill="1" applyBorder="1" applyAlignment="1">
      <alignment horizontal="center" vertical="center" wrapText="1"/>
    </xf>
    <xf numFmtId="179" fontId="5" fillId="0" borderId="12" xfId="58" applyNumberFormat="1" applyFont="1" applyBorder="1" applyAlignment="1">
      <alignment horizontal="center" vertical="center"/>
    </xf>
    <xf numFmtId="180" fontId="5" fillId="0" borderId="12" xfId="58" applyNumberFormat="1" applyFont="1" applyBorder="1" applyAlignment="1">
      <alignment horizontal="center" vertical="center"/>
    </xf>
    <xf numFmtId="181" fontId="5" fillId="0" borderId="12" xfId="58" applyNumberFormat="1" applyFont="1" applyBorder="1" applyAlignment="1">
      <alignment horizontal="center" vertical="center"/>
    </xf>
    <xf numFmtId="182" fontId="8" fillId="0" borderId="12" xfId="0" applyNumberFormat="1" applyFont="1" applyBorder="1" applyAlignment="1">
      <alignment horizontal="center" vertical="center"/>
    </xf>
    <xf numFmtId="183" fontId="5" fillId="0" borderId="12" xfId="0" applyNumberFormat="1" applyFont="1" applyBorder="1" applyAlignment="1">
      <alignment horizontal="center" vertical="center"/>
    </xf>
    <xf numFmtId="182" fontId="8" fillId="0" borderId="12" xfId="0" applyNumberFormat="1" applyFont="1" applyBorder="1" applyAlignment="1">
      <alignment horizontal="center"/>
    </xf>
    <xf numFmtId="182" fontId="5" fillId="0" borderId="12" xfId="0" applyNumberFormat="1" applyFont="1" applyBorder="1" applyAlignment="1">
      <alignment horizontal="center" vertical="center"/>
    </xf>
    <xf numFmtId="184" fontId="9" fillId="0" borderId="8" xfId="0" applyNumberFormat="1" applyFont="1" applyBorder="1" applyAlignment="1" applyProtection="1">
      <alignment horizontal="center" vertical="center"/>
      <protection locked="0"/>
    </xf>
    <xf numFmtId="9" fontId="7" fillId="0" borderId="12" xfId="0" applyNumberFormat="1" applyFont="1" applyBorder="1" applyAlignment="1" applyProtection="1">
      <alignment horizontal="center" vertical="center"/>
      <protection locked="0"/>
    </xf>
    <xf numFmtId="1" fontId="7" fillId="0" borderId="12" xfId="0" applyNumberFormat="1" applyFont="1" applyBorder="1" applyAlignment="1" applyProtection="1">
      <alignment horizontal="center" vertical="center"/>
      <protection locked="0"/>
    </xf>
    <xf numFmtId="2" fontId="7" fillId="0" borderId="12" xfId="0" applyNumberFormat="1" applyFont="1" applyBorder="1" applyAlignment="1" applyProtection="1">
      <alignment horizontal="center" vertical="center"/>
      <protection locked="0"/>
    </xf>
    <xf numFmtId="179" fontId="4" fillId="0" borderId="12" xfId="58" applyNumberFormat="1" applyFont="1" applyBorder="1" applyAlignment="1">
      <alignment horizontal="center" vertical="center"/>
    </xf>
    <xf numFmtId="185" fontId="5" fillId="0" borderId="12" xfId="0" applyNumberFormat="1" applyFont="1" applyBorder="1" applyAlignment="1">
      <alignment horizontal="center" vertical="center"/>
    </xf>
    <xf numFmtId="180" fontId="9" fillId="0" borderId="12" xfId="0" applyNumberFormat="1" applyFont="1" applyBorder="1" applyAlignment="1" applyProtection="1">
      <alignment horizontal="center" vertical="center"/>
      <protection locked="0"/>
    </xf>
    <xf numFmtId="0" fontId="5" fillId="0" borderId="12" xfId="58" applyFont="1" applyBorder="1" applyAlignment="1">
      <alignment horizontal="center" vertical="center"/>
    </xf>
    <xf numFmtId="186" fontId="5" fillId="0" borderId="12" xfId="58" applyNumberFormat="1" applyFont="1" applyBorder="1" applyAlignment="1">
      <alignment horizontal="center" vertical="center"/>
    </xf>
    <xf numFmtId="183" fontId="5" fillId="0" borderId="12" xfId="58" applyNumberFormat="1" applyFont="1" applyBorder="1" applyAlignment="1">
      <alignment horizontal="center" vertical="center"/>
    </xf>
    <xf numFmtId="187" fontId="5" fillId="0" borderId="12" xfId="58" applyNumberFormat="1" applyFont="1" applyBorder="1" applyAlignment="1">
      <alignment horizontal="center" vertical="center"/>
    </xf>
    <xf numFmtId="188" fontId="5" fillId="0" borderId="12" xfId="58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 applyProtection="1">
      <alignment horizontal="center" vertical="center" wrapText="1"/>
      <protection locked="0"/>
    </xf>
    <xf numFmtId="0" fontId="7" fillId="0" borderId="12" xfId="0" applyFont="1" applyBorder="1" applyAlignment="1">
      <alignment horizontal="center" vertical="center"/>
    </xf>
    <xf numFmtId="183" fontId="7" fillId="0" borderId="12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>
      <alignment horizontal="center" vertical="center"/>
    </xf>
    <xf numFmtId="0" fontId="9" fillId="0" borderId="12" xfId="56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4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1" fillId="2" borderId="2" xfId="0" applyFont="1" applyFill="1" applyBorder="1" applyAlignment="1" applyProtection="1">
      <alignment horizontal="center" vertical="center"/>
      <protection locked="0"/>
    </xf>
    <xf numFmtId="189" fontId="0" fillId="2" borderId="0" xfId="0" applyNumberFormat="1" applyFill="1" applyProtection="1"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12" fillId="0" borderId="13" xfId="0" applyFont="1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22" fontId="0" fillId="2" borderId="0" xfId="0" applyNumberFormat="1" applyFill="1" applyProtection="1">
      <protection locked="0"/>
    </xf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 10 2 3" xfId="50"/>
    <cellStyle name="常规 2" xfId="51"/>
    <cellStyle name="常规 2 2" xfId="52"/>
    <cellStyle name="常规 2 2 2 3" xfId="53"/>
    <cellStyle name="常规 2 2 2 3 2" xfId="54"/>
    <cellStyle name="常规 2 4 2" xfId="55"/>
    <cellStyle name="常规 3" xfId="56"/>
    <cellStyle name="常规 3 2" xfId="57"/>
    <cellStyle name="常规 3 2 2" xfId="58"/>
    <cellStyle name="常规 3 2 2 2 2" xfId="59"/>
    <cellStyle name="常规 3 2 3" xfId="60"/>
    <cellStyle name="常规 3 5" xfId="61"/>
    <cellStyle name="常规 4" xfId="62"/>
    <cellStyle name="常规 9 2" xfId="63"/>
    <cellStyle name="常规 9 2 2" xfId="64"/>
  </cellStyles>
  <tableStyles count="0" defaultTableStyle="TableStyleMedium2" defaultPivotStyle="PivotStyleMedium9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V35"/>
  <sheetViews>
    <sheetView tabSelected="1" workbookViewId="0">
      <selection activeCell="H9" sqref="H9"/>
    </sheetView>
  </sheetViews>
  <sheetFormatPr defaultColWidth="9.10909090909091" defaultRowHeight="19.95" customHeight="1"/>
  <cols>
    <col min="1" max="1" width="9.10909090909091" style="2" customWidth="1"/>
    <col min="2" max="2" width="9.66363636363636" style="2" customWidth="1"/>
    <col min="3" max="3" width="10.4454545454545" style="2" customWidth="1"/>
    <col min="4" max="4" width="12" style="2" customWidth="1"/>
    <col min="5" max="6" width="10.6636363636364" style="2" customWidth="1"/>
    <col min="7" max="7" width="9.66363636363636" style="2" customWidth="1"/>
    <col min="8" max="8" width="11.8909090909091" style="2" customWidth="1"/>
    <col min="9" max="9" width="9.89090909090909" style="2" customWidth="1"/>
    <col min="10" max="10" width="4.10909090909091" style="2" customWidth="1"/>
    <col min="11" max="11" width="14.6636363636364" style="2" customWidth="1"/>
    <col min="12" max="12" width="12.7818181818182" style="2" customWidth="1"/>
    <col min="13" max="13" width="19.2181818181818" style="2" customWidth="1"/>
    <col min="14" max="14" width="14.7818181818182" style="2" customWidth="1"/>
    <col min="15" max="15" width="12.6636363636364" style="2" customWidth="1"/>
    <col min="16" max="16" width="11.3363636363636" style="2" customWidth="1"/>
    <col min="17" max="17" width="9.78181818181818" style="2" customWidth="1"/>
    <col min="18" max="18" width="12.4454545454545" style="2" customWidth="1"/>
    <col min="19" max="21" width="8.89090909090909" style="2" customWidth="1"/>
    <col min="22" max="22" width="6.78181818181818" style="2" customWidth="1"/>
    <col min="23" max="16384" width="9.10909090909091" style="2"/>
  </cols>
  <sheetData>
    <row r="1" ht="18.45" customHeight="1" spans="1:22">
      <c r="A1" s="3" t="s">
        <v>0</v>
      </c>
      <c r="B1" s="4"/>
      <c r="C1" s="5"/>
      <c r="D1" s="6" t="s">
        <v>1</v>
      </c>
      <c r="E1" s="7"/>
      <c r="F1" s="7"/>
      <c r="G1" s="7"/>
      <c r="H1" s="8"/>
      <c r="I1" s="9"/>
      <c r="K1" s="10" t="s">
        <v>2</v>
      </c>
      <c r="L1" s="10" t="s">
        <v>3</v>
      </c>
      <c r="M1" s="11" t="s">
        <v>4</v>
      </c>
      <c r="N1" s="12"/>
      <c r="O1" s="12"/>
      <c r="P1" s="13"/>
    </row>
    <row r="2" ht="18.45" customHeight="1" spans="1:22">
      <c r="A2" s="14"/>
      <c r="B2" s="15"/>
      <c r="C2" s="16"/>
      <c r="D2" s="17"/>
      <c r="E2" s="9"/>
      <c r="F2" s="9"/>
      <c r="G2" s="9"/>
      <c r="H2" s="18"/>
      <c r="I2" s="9"/>
      <c r="K2" s="19"/>
      <c r="L2" s="20"/>
      <c r="M2" s="21"/>
      <c r="N2" s="22"/>
      <c r="O2" s="22"/>
      <c r="P2" s="23"/>
      <c r="R2" s="24"/>
    </row>
    <row r="3" ht="18.45" customHeight="1" spans="1:22">
      <c r="A3" s="25"/>
      <c r="B3" s="26"/>
      <c r="C3" s="27"/>
      <c r="D3" s="28"/>
      <c r="E3" s="29"/>
      <c r="F3" s="29"/>
      <c r="G3" s="29"/>
      <c r="H3" s="30"/>
      <c r="I3" s="9"/>
      <c r="K3" s="19"/>
      <c r="L3" s="10" t="s">
        <v>5</v>
      </c>
      <c r="M3" s="11" t="s">
        <v>6</v>
      </c>
      <c r="N3" s="12"/>
      <c r="O3" s="12"/>
      <c r="P3" s="13"/>
    </row>
    <row r="4" ht="28.8" customHeight="1" spans="1:22">
      <c r="A4" s="31" t="s">
        <v>7</v>
      </c>
      <c r="B4" s="31"/>
      <c r="C4" s="32" t="s">
        <v>8</v>
      </c>
      <c r="D4" s="33"/>
      <c r="E4" s="34" t="s">
        <v>9</v>
      </c>
      <c r="F4" s="34"/>
      <c r="G4" s="35" t="s">
        <v>10</v>
      </c>
      <c r="H4" s="36"/>
      <c r="I4" s="37"/>
      <c r="K4" s="20"/>
      <c r="L4" s="20"/>
      <c r="M4" s="21"/>
      <c r="N4" s="22"/>
      <c r="O4" s="22"/>
      <c r="P4" s="23"/>
      <c r="Q4" s="24"/>
      <c r="R4" s="24"/>
    </row>
    <row r="5" customHeight="1" spans="1:22">
      <c r="A5" s="38" t="s">
        <v>11</v>
      </c>
      <c r="B5" s="38"/>
      <c r="C5" s="33" t="s">
        <v>12</v>
      </c>
      <c r="D5" s="33"/>
      <c r="E5" s="34" t="s">
        <v>13</v>
      </c>
      <c r="F5" s="34"/>
      <c r="G5" s="39" t="s">
        <v>14</v>
      </c>
      <c r="H5" s="40"/>
      <c r="I5" s="41"/>
      <c r="K5" s="42" t="s">
        <v>15</v>
      </c>
      <c r="L5" s="42"/>
      <c r="M5" s="42"/>
      <c r="N5" s="42"/>
      <c r="O5" s="42"/>
      <c r="P5" s="42"/>
    </row>
    <row r="6" customHeight="1" spans="1:22">
      <c r="A6" s="43" t="s">
        <v>16</v>
      </c>
      <c r="B6" s="43"/>
      <c r="C6" s="44" t="s">
        <v>17</v>
      </c>
      <c r="D6" s="44"/>
      <c r="E6" s="10" t="s">
        <v>18</v>
      </c>
      <c r="F6" s="10"/>
      <c r="G6" s="39" t="s">
        <v>19</v>
      </c>
      <c r="H6" s="40"/>
      <c r="I6" s="41"/>
    </row>
    <row r="7" s="1" customFormat="1" customHeight="1" spans="1:22">
      <c r="A7" s="45" t="s">
        <v>20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</row>
    <row r="8" ht="31.95" customHeight="1" spans="1:22">
      <c r="A8" s="46" t="s">
        <v>21</v>
      </c>
      <c r="B8" s="47" t="s">
        <v>22</v>
      </c>
      <c r="C8" s="47" t="s">
        <v>23</v>
      </c>
      <c r="D8" s="47" t="s">
        <v>24</v>
      </c>
      <c r="E8" s="48" t="s">
        <v>25</v>
      </c>
      <c r="F8" s="47" t="s">
        <v>26</v>
      </c>
      <c r="G8" s="47" t="s">
        <v>27</v>
      </c>
      <c r="H8" s="48" t="s">
        <v>28</v>
      </c>
      <c r="I8" s="48" t="s">
        <v>29</v>
      </c>
      <c r="J8" s="49"/>
      <c r="K8" s="50" t="s">
        <v>30</v>
      </c>
      <c r="L8" s="50" t="s">
        <v>31</v>
      </c>
      <c r="M8" s="50" t="s">
        <v>32</v>
      </c>
      <c r="N8" s="48" t="s">
        <v>33</v>
      </c>
      <c r="O8" s="48" t="s">
        <v>34</v>
      </c>
      <c r="P8" s="48" t="s">
        <v>35</v>
      </c>
      <c r="Q8" s="50" t="s">
        <v>36</v>
      </c>
      <c r="R8" s="50" t="s">
        <v>37</v>
      </c>
      <c r="S8" s="50" t="s">
        <v>38</v>
      </c>
      <c r="T8" s="51" t="s">
        <v>39</v>
      </c>
      <c r="U8" s="51" t="s">
        <v>40</v>
      </c>
      <c r="V8" s="51" t="s">
        <v>41</v>
      </c>
    </row>
    <row r="9" ht="18.45" customHeight="1" spans="1:22">
      <c r="A9" s="52" t="s">
        <v>42</v>
      </c>
      <c r="B9" s="53">
        <v>229.99</v>
      </c>
      <c r="C9" s="54">
        <v>0.4243</v>
      </c>
      <c r="D9" s="55">
        <v>95.99</v>
      </c>
      <c r="E9" s="56">
        <f>1.08*(1.5+15000/(1*120))*ROUND((80+80)/160,2)</f>
        <v>136.62</v>
      </c>
      <c r="F9" s="57">
        <v>15048</v>
      </c>
      <c r="G9" s="58" t="s">
        <v>19</v>
      </c>
      <c r="H9" s="59">
        <f>F9/D9</f>
        <v>156.766329826024</v>
      </c>
      <c r="I9" s="60"/>
      <c r="J9" s="49"/>
      <c r="K9" s="61">
        <v>1</v>
      </c>
      <c r="L9" s="62">
        <v>14955</v>
      </c>
      <c r="M9" s="63">
        <f>L9/F9*100</f>
        <v>99.3819776714513</v>
      </c>
      <c r="N9" s="64">
        <v>82</v>
      </c>
      <c r="O9" s="65">
        <v>0.9858</v>
      </c>
      <c r="P9" s="53">
        <v>0.6</v>
      </c>
      <c r="Q9" s="66">
        <v>0.012</v>
      </c>
      <c r="R9" s="66">
        <v>0.0083</v>
      </c>
      <c r="S9" s="67">
        <v>4981</v>
      </c>
      <c r="T9" s="68">
        <v>0.3462</v>
      </c>
      <c r="U9" s="68">
        <v>0.358</v>
      </c>
      <c r="V9" s="67">
        <v>12</v>
      </c>
    </row>
    <row r="10" ht="18.45" customHeight="1" spans="1:22">
      <c r="A10" s="52" t="s">
        <v>43</v>
      </c>
      <c r="B10" s="53">
        <v>230.02</v>
      </c>
      <c r="C10" s="54">
        <v>0.4256</v>
      </c>
      <c r="D10" s="55">
        <v>96.19</v>
      </c>
      <c r="E10" s="56">
        <f t="shared" ref="E10:E18" si="0">1.08*(1.5+15000/(1*120))*ROUND((80+80)/160,2)</f>
        <v>136.62</v>
      </c>
      <c r="F10" s="57">
        <v>15196</v>
      </c>
      <c r="G10" s="58" t="s">
        <v>19</v>
      </c>
      <c r="H10" s="59">
        <f t="shared" ref="H10:H19" si="1">F10/D10</f>
        <v>157.978999896039</v>
      </c>
      <c r="I10" s="60"/>
      <c r="J10" s="49"/>
      <c r="K10" s="61">
        <v>1</v>
      </c>
      <c r="L10" s="62">
        <v>15025</v>
      </c>
      <c r="M10" s="63">
        <f t="shared" ref="M10:M18" si="2">L10/F10*100</f>
        <v>98.8747038694393</v>
      </c>
      <c r="N10" s="64">
        <v>82</v>
      </c>
      <c r="O10" s="65">
        <v>0.9853</v>
      </c>
      <c r="P10" s="53">
        <v>0.6</v>
      </c>
      <c r="Q10" s="66">
        <v>0.012</v>
      </c>
      <c r="R10" s="66">
        <v>0.0088</v>
      </c>
      <c r="S10" s="67">
        <v>4983</v>
      </c>
      <c r="T10" s="68">
        <v>0.3462</v>
      </c>
      <c r="U10" s="68">
        <v>0.3581</v>
      </c>
      <c r="V10" s="67">
        <v>12</v>
      </c>
    </row>
    <row r="11" ht="18.45" customHeight="1" spans="1:22">
      <c r="A11" s="52" t="s">
        <v>44</v>
      </c>
      <c r="B11" s="53">
        <v>229.99</v>
      </c>
      <c r="C11" s="54">
        <v>0.4248</v>
      </c>
      <c r="D11" s="55">
        <v>96.08</v>
      </c>
      <c r="E11" s="56">
        <f t="shared" si="0"/>
        <v>136.62</v>
      </c>
      <c r="F11" s="57">
        <v>15096</v>
      </c>
      <c r="G11" s="58" t="s">
        <v>19</v>
      </c>
      <c r="H11" s="59">
        <f t="shared" si="1"/>
        <v>157.119067443797</v>
      </c>
      <c r="I11" s="60"/>
      <c r="J11" s="49"/>
      <c r="K11" s="61">
        <v>1</v>
      </c>
      <c r="L11" s="62">
        <v>14996</v>
      </c>
      <c r="M11" s="63">
        <f t="shared" si="2"/>
        <v>99.3375728669846</v>
      </c>
      <c r="N11" s="64">
        <v>82.1</v>
      </c>
      <c r="O11" s="65">
        <v>0.9852</v>
      </c>
      <c r="P11" s="53">
        <v>0.6</v>
      </c>
      <c r="Q11" s="66">
        <v>0.013</v>
      </c>
      <c r="R11" s="66">
        <v>0.0094</v>
      </c>
      <c r="S11" s="67">
        <v>4981</v>
      </c>
      <c r="T11" s="68">
        <v>0.3462</v>
      </c>
      <c r="U11" s="68">
        <v>0.358</v>
      </c>
      <c r="V11" s="67">
        <v>12</v>
      </c>
    </row>
    <row r="12" ht="18.45" customHeight="1" spans="1:22">
      <c r="A12" s="52" t="s">
        <v>45</v>
      </c>
      <c r="B12" s="53">
        <v>230.01</v>
      </c>
      <c r="C12" s="54">
        <v>0.4294</v>
      </c>
      <c r="D12" s="55">
        <v>97.09</v>
      </c>
      <c r="E12" s="56">
        <f t="shared" si="0"/>
        <v>136.62</v>
      </c>
      <c r="F12" s="57">
        <v>15200</v>
      </c>
      <c r="G12" s="58" t="s">
        <v>19</v>
      </c>
      <c r="H12" s="59">
        <f t="shared" si="1"/>
        <v>156.555772994129</v>
      </c>
      <c r="I12" s="60"/>
      <c r="J12" s="49"/>
      <c r="K12" s="61">
        <v>1</v>
      </c>
      <c r="L12" s="62">
        <v>15025</v>
      </c>
      <c r="M12" s="63">
        <f t="shared" si="2"/>
        <v>98.8486842105263</v>
      </c>
      <c r="N12" s="64">
        <v>82</v>
      </c>
      <c r="O12" s="65">
        <v>0.9852</v>
      </c>
      <c r="P12" s="53">
        <v>0.6</v>
      </c>
      <c r="Q12" s="66">
        <v>0.014</v>
      </c>
      <c r="R12" s="66">
        <v>0.0087</v>
      </c>
      <c r="S12" s="67">
        <v>4989</v>
      </c>
      <c r="T12" s="68">
        <v>0.3459</v>
      </c>
      <c r="U12" s="68">
        <v>0.3578</v>
      </c>
      <c r="V12" s="67">
        <v>12</v>
      </c>
    </row>
    <row r="13" ht="18.45" customHeight="1" spans="1:22">
      <c r="A13" s="52" t="s">
        <v>46</v>
      </c>
      <c r="B13" s="53">
        <v>229.98</v>
      </c>
      <c r="C13" s="54">
        <v>0.4308</v>
      </c>
      <c r="D13" s="55">
        <v>97.4</v>
      </c>
      <c r="E13" s="56">
        <f t="shared" si="0"/>
        <v>136.62</v>
      </c>
      <c r="F13" s="57">
        <v>15250</v>
      </c>
      <c r="G13" s="58" t="s">
        <v>19</v>
      </c>
      <c r="H13" s="59">
        <f t="shared" si="1"/>
        <v>156.570841889117</v>
      </c>
      <c r="I13" s="60"/>
      <c r="J13" s="49"/>
      <c r="K13" s="61">
        <v>1</v>
      </c>
      <c r="L13" s="62">
        <v>15041</v>
      </c>
      <c r="M13" s="63">
        <f t="shared" si="2"/>
        <v>98.6295081967213</v>
      </c>
      <c r="N13" s="64">
        <v>82.1</v>
      </c>
      <c r="O13" s="65">
        <v>0.9854</v>
      </c>
      <c r="P13" s="53">
        <v>0.7</v>
      </c>
      <c r="Q13" s="66">
        <v>0.015</v>
      </c>
      <c r="R13" s="66">
        <v>0.0086</v>
      </c>
      <c r="S13" s="67">
        <v>4989</v>
      </c>
      <c r="T13" s="68">
        <v>0.3459</v>
      </c>
      <c r="U13" s="68">
        <v>0.3576</v>
      </c>
      <c r="V13" s="67">
        <v>12</v>
      </c>
    </row>
    <row r="14" ht="18.45" customHeight="1" spans="1:22">
      <c r="A14" s="52" t="s">
        <v>47</v>
      </c>
      <c r="B14" s="53">
        <v>230.03</v>
      </c>
      <c r="C14" s="54">
        <v>0.4185</v>
      </c>
      <c r="D14" s="55">
        <v>94.62</v>
      </c>
      <c r="E14" s="56">
        <f t="shared" si="0"/>
        <v>136.62</v>
      </c>
      <c r="F14" s="57">
        <v>14920</v>
      </c>
      <c r="G14" s="58" t="s">
        <v>19</v>
      </c>
      <c r="H14" s="59">
        <f t="shared" si="1"/>
        <v>157.683365039104</v>
      </c>
      <c r="I14" s="60"/>
      <c r="J14" s="49"/>
      <c r="K14" s="61">
        <v>1</v>
      </c>
      <c r="L14" s="62">
        <v>14827</v>
      </c>
      <c r="M14" s="63">
        <f t="shared" si="2"/>
        <v>99.3766756032172</v>
      </c>
      <c r="N14" s="64">
        <v>82</v>
      </c>
      <c r="O14" s="65">
        <v>0.985</v>
      </c>
      <c r="P14" s="53">
        <v>0.6</v>
      </c>
      <c r="Q14" s="66">
        <v>0.015</v>
      </c>
      <c r="R14" s="66">
        <v>0.0087</v>
      </c>
      <c r="S14" s="67">
        <v>4972</v>
      </c>
      <c r="T14" s="68">
        <v>0.3465</v>
      </c>
      <c r="U14" s="68">
        <v>0.3584</v>
      </c>
      <c r="V14" s="67">
        <v>12</v>
      </c>
    </row>
    <row r="15" ht="18.45" customHeight="1" spans="1:22">
      <c r="A15" s="52" t="s">
        <v>48</v>
      </c>
      <c r="B15" s="53">
        <v>230.01</v>
      </c>
      <c r="C15" s="54">
        <v>0.4229</v>
      </c>
      <c r="D15" s="55">
        <v>95.49</v>
      </c>
      <c r="E15" s="56">
        <f t="shared" si="0"/>
        <v>136.62</v>
      </c>
      <c r="F15" s="57">
        <v>15051</v>
      </c>
      <c r="G15" s="58" t="s">
        <v>19</v>
      </c>
      <c r="H15" s="59">
        <f t="shared" si="1"/>
        <v>157.618598806158</v>
      </c>
      <c r="I15" s="60"/>
      <c r="J15" s="49"/>
      <c r="K15" s="61">
        <v>1</v>
      </c>
      <c r="L15" s="62">
        <v>14964</v>
      </c>
      <c r="M15" s="63">
        <f t="shared" si="2"/>
        <v>99.4219653179191</v>
      </c>
      <c r="N15" s="64">
        <v>82</v>
      </c>
      <c r="O15" s="65">
        <v>0.9843</v>
      </c>
      <c r="P15" s="53">
        <v>0.7</v>
      </c>
      <c r="Q15" s="66">
        <v>0.012</v>
      </c>
      <c r="R15" s="66">
        <v>0.0067</v>
      </c>
      <c r="S15" s="67">
        <v>4992</v>
      </c>
      <c r="T15" s="68">
        <v>0.3458</v>
      </c>
      <c r="U15" s="68">
        <v>0.3575</v>
      </c>
      <c r="V15" s="67">
        <v>12</v>
      </c>
    </row>
    <row r="16" ht="18.45" customHeight="1" spans="1:22">
      <c r="A16" s="52" t="s">
        <v>49</v>
      </c>
      <c r="B16" s="53">
        <v>230.09</v>
      </c>
      <c r="C16" s="54">
        <v>0.4281</v>
      </c>
      <c r="D16" s="55">
        <v>96.88</v>
      </c>
      <c r="E16" s="56">
        <f t="shared" si="0"/>
        <v>136.62</v>
      </c>
      <c r="F16" s="57">
        <v>15218.1524163569</v>
      </c>
      <c r="G16" s="58" t="s">
        <v>19</v>
      </c>
      <c r="H16" s="59">
        <f t="shared" si="1"/>
        <v>157.082498104427</v>
      </c>
      <c r="I16" s="60"/>
      <c r="J16" s="49"/>
      <c r="K16" s="61">
        <v>1</v>
      </c>
      <c r="L16" s="62">
        <v>15151</v>
      </c>
      <c r="M16" s="63">
        <f t="shared" si="2"/>
        <v>99.5587347628041</v>
      </c>
      <c r="N16" s="64">
        <v>82</v>
      </c>
      <c r="O16" s="65">
        <v>0.9857</v>
      </c>
      <c r="P16" s="53">
        <v>0.6</v>
      </c>
      <c r="Q16" s="66">
        <v>0.013</v>
      </c>
      <c r="R16" s="66">
        <v>0.0079</v>
      </c>
      <c r="S16" s="67">
        <v>4983</v>
      </c>
      <c r="T16" s="68">
        <v>0.3461</v>
      </c>
      <c r="U16" s="68">
        <v>0.3579</v>
      </c>
      <c r="V16" s="67">
        <v>12</v>
      </c>
    </row>
    <row r="17" ht="18.45" customHeight="1" spans="1:22">
      <c r="A17" s="52" t="s">
        <v>50</v>
      </c>
      <c r="B17" s="53">
        <v>230.11</v>
      </c>
      <c r="C17" s="54">
        <v>0.4296</v>
      </c>
      <c r="D17" s="55">
        <v>97.27</v>
      </c>
      <c r="E17" s="56">
        <f t="shared" si="0"/>
        <v>136.62</v>
      </c>
      <c r="F17" s="57">
        <v>15285.7472118959</v>
      </c>
      <c r="G17" s="58" t="s">
        <v>19</v>
      </c>
      <c r="H17" s="59">
        <f t="shared" si="1"/>
        <v>157.147601643836</v>
      </c>
      <c r="I17" s="60"/>
      <c r="J17" s="49"/>
      <c r="K17" s="61">
        <v>1</v>
      </c>
      <c r="L17" s="62">
        <v>15197</v>
      </c>
      <c r="M17" s="63">
        <f t="shared" si="2"/>
        <v>99.4194120139129</v>
      </c>
      <c r="N17" s="64">
        <v>82</v>
      </c>
      <c r="O17" s="65">
        <v>0.9862</v>
      </c>
      <c r="P17" s="53">
        <v>0.5</v>
      </c>
      <c r="Q17" s="66">
        <v>0.014</v>
      </c>
      <c r="R17" s="66">
        <v>0.0081</v>
      </c>
      <c r="S17" s="67">
        <v>4979</v>
      </c>
      <c r="T17" s="68">
        <v>0.3463</v>
      </c>
      <c r="U17" s="68">
        <v>0.3584</v>
      </c>
      <c r="V17" s="67">
        <v>12</v>
      </c>
    </row>
    <row r="18" ht="18.45" customHeight="1" spans="1:22">
      <c r="A18" s="52" t="s">
        <v>51</v>
      </c>
      <c r="B18" s="53">
        <v>230.11</v>
      </c>
      <c r="C18" s="54">
        <v>0.423</v>
      </c>
      <c r="D18" s="55">
        <v>95.68</v>
      </c>
      <c r="E18" s="56">
        <f t="shared" si="0"/>
        <v>136.62</v>
      </c>
      <c r="F18" s="57">
        <v>15014.2026022305</v>
      </c>
      <c r="G18" s="58" t="s">
        <v>19</v>
      </c>
      <c r="H18" s="59">
        <f t="shared" si="1"/>
        <v>156.921013819299</v>
      </c>
      <c r="I18" s="60"/>
      <c r="J18" s="49"/>
      <c r="K18" s="61">
        <v>1</v>
      </c>
      <c r="L18" s="62">
        <v>14879</v>
      </c>
      <c r="M18" s="63">
        <f t="shared" si="2"/>
        <v>99.0995019461746</v>
      </c>
      <c r="N18" s="64">
        <v>82</v>
      </c>
      <c r="O18" s="65">
        <v>0.9852</v>
      </c>
      <c r="P18" s="53">
        <v>0.6</v>
      </c>
      <c r="Q18" s="66">
        <v>0.014</v>
      </c>
      <c r="R18" s="66">
        <v>0.0088</v>
      </c>
      <c r="S18" s="67">
        <v>4974</v>
      </c>
      <c r="T18" s="68">
        <v>0.3464</v>
      </c>
      <c r="U18" s="68">
        <v>0.3582</v>
      </c>
      <c r="V18" s="67">
        <v>12</v>
      </c>
    </row>
    <row r="19" ht="18.45" customHeight="1" spans="1:22">
      <c r="A19" s="52" t="s">
        <v>52</v>
      </c>
      <c r="B19" s="53">
        <f>AVERAGE(B9:B18)</f>
        <v>230.034</v>
      </c>
      <c r="C19" s="68">
        <f t="shared" ref="C19:I19" si="3">AVERAGE(C9:C18)</f>
        <v>0.4257</v>
      </c>
      <c r="D19" s="55">
        <f t="shared" si="3"/>
        <v>96.269</v>
      </c>
      <c r="E19" s="55">
        <f t="shared" si="3"/>
        <v>136.62</v>
      </c>
      <c r="F19" s="69">
        <f t="shared" si="3"/>
        <v>15127.9102230483</v>
      </c>
      <c r="G19" s="58" t="s">
        <v>19</v>
      </c>
      <c r="H19" s="59">
        <f t="shared" si="1"/>
        <v>157.14207297311</v>
      </c>
      <c r="I19" s="70"/>
      <c r="J19" s="49"/>
      <c r="K19" s="61">
        <v>1</v>
      </c>
      <c r="L19" s="62">
        <f>AVERAGE(L9:L18)</f>
        <v>15006</v>
      </c>
      <c r="M19" s="63">
        <f>AVERAGE(M9:M18)</f>
        <v>99.1948736459151</v>
      </c>
      <c r="N19" s="53">
        <f t="shared" ref="N19:O19" si="4">AVERAGE(N9:N18)</f>
        <v>82.02</v>
      </c>
      <c r="O19" s="68">
        <f t="shared" si="4"/>
        <v>0.98533</v>
      </c>
      <c r="P19" s="53">
        <f t="shared" ref="P19:R19" si="5">AVERAGE(P9:P18)</f>
        <v>0.61</v>
      </c>
      <c r="Q19" s="54">
        <f t="shared" si="5"/>
        <v>0.0134</v>
      </c>
      <c r="R19" s="54">
        <f t="shared" si="5"/>
        <v>0.0084</v>
      </c>
      <c r="S19" s="71">
        <f t="shared" ref="S19:V19" si="6">AVERAGE(S9:S18)</f>
        <v>4982.3</v>
      </c>
      <c r="T19" s="68">
        <f t="shared" si="6"/>
        <v>0.34615</v>
      </c>
      <c r="U19" s="68">
        <f t="shared" si="6"/>
        <v>0.35799</v>
      </c>
      <c r="V19" s="71">
        <f t="shared" si="6"/>
        <v>12</v>
      </c>
    </row>
    <row r="20" ht="18.45" customHeight="1" spans="1:22">
      <c r="A20" s="72" t="s">
        <v>53</v>
      </c>
      <c r="B20" s="73" t="s">
        <v>54</v>
      </c>
      <c r="C20" s="74" t="s">
        <v>55</v>
      </c>
      <c r="D20" s="74" t="s">
        <v>56</v>
      </c>
      <c r="E20" s="74" t="s">
        <v>55</v>
      </c>
      <c r="F20" s="75">
        <v>15000</v>
      </c>
      <c r="G20" s="76" t="s">
        <v>55</v>
      </c>
      <c r="H20" s="76">
        <v>150</v>
      </c>
      <c r="I20" s="76" t="s">
        <v>55</v>
      </c>
      <c r="J20" s="49"/>
      <c r="K20" s="77" t="s">
        <v>57</v>
      </c>
      <c r="L20" s="74" t="s">
        <v>55</v>
      </c>
      <c r="M20" s="77" t="s">
        <v>58</v>
      </c>
      <c r="N20" s="78" t="s">
        <v>59</v>
      </c>
      <c r="O20" s="78" t="s">
        <v>60</v>
      </c>
      <c r="P20" s="78" t="s">
        <v>61</v>
      </c>
      <c r="Q20" s="78" t="s">
        <v>62</v>
      </c>
      <c r="R20" s="78" t="s">
        <v>63</v>
      </c>
      <c r="S20" s="76" t="s">
        <v>64</v>
      </c>
      <c r="T20" s="74">
        <v>0.346</v>
      </c>
      <c r="U20" s="74">
        <v>0.359</v>
      </c>
      <c r="V20" s="79" t="s">
        <v>65</v>
      </c>
    </row>
    <row r="21" customHeight="1" spans="1:22">
      <c r="B21" s="41"/>
      <c r="C21" s="41"/>
      <c r="D21" s="80"/>
      <c r="E21" s="41"/>
      <c r="F21" s="41"/>
      <c r="G21" s="41"/>
      <c r="H21" s="41"/>
      <c r="I21" s="81"/>
      <c r="J21" s="41"/>
      <c r="Q21" s="82" t="s">
        <v>66</v>
      </c>
      <c r="R21" s="82"/>
      <c r="S21" s="82"/>
      <c r="T21" s="82"/>
      <c r="U21" s="82"/>
      <c r="V21" s="82"/>
    </row>
    <row r="22" customHeight="1" spans="1:22">
      <c r="B22" s="41"/>
      <c r="C22" s="41"/>
      <c r="D22" s="41"/>
      <c r="E22" s="41"/>
      <c r="F22" s="41"/>
      <c r="G22" s="41"/>
      <c r="H22" s="41"/>
      <c r="I22" s="41"/>
      <c r="J22" s="41"/>
    </row>
    <row r="23" customHeight="1" spans="1:22">
      <c r="B23" s="41"/>
      <c r="C23" s="41"/>
      <c r="D23" s="41"/>
      <c r="E23" s="41"/>
      <c r="F23" s="41"/>
      <c r="G23" s="41"/>
      <c r="H23" s="41"/>
      <c r="I23" s="41"/>
      <c r="J23" s="41"/>
      <c r="K23" s="83"/>
      <c r="N23" s="83"/>
      <c r="O23" s="83"/>
    </row>
    <row r="24" customHeight="1" spans="1:22">
      <c r="B24" s="84" t="s">
        <v>67</v>
      </c>
      <c r="C24" s="84"/>
      <c r="D24" s="85" t="s">
        <v>19</v>
      </c>
      <c r="E24" s="86"/>
      <c r="M24" s="24"/>
      <c r="O24" s="24"/>
    </row>
    <row r="25" customHeight="1" spans="1:22">
      <c r="B25" s="84" t="s">
        <v>68</v>
      </c>
      <c r="C25" s="84"/>
      <c r="D25" s="87" t="s">
        <v>69</v>
      </c>
      <c r="E25" s="88"/>
      <c r="O25" s="24"/>
    </row>
    <row r="28" customHeight="1" spans="1:22">
      <c r="B28" s="89" t="s">
        <v>70</v>
      </c>
      <c r="C28" s="33"/>
      <c r="D28" s="90" t="s">
        <v>19</v>
      </c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</row>
    <row r="29" customHeight="1" spans="1:22">
      <c r="B29" s="33"/>
      <c r="C29" s="33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</row>
    <row r="30" customHeight="1" spans="1:22">
      <c r="B30" s="33" t="s">
        <v>71</v>
      </c>
      <c r="C30" s="33"/>
      <c r="D30" s="32" t="s">
        <v>72</v>
      </c>
      <c r="E30" s="33"/>
      <c r="F30" s="33"/>
      <c r="G30" s="33"/>
      <c r="H30" s="33"/>
      <c r="I30" s="33"/>
      <c r="J30" s="33"/>
      <c r="K30" s="33"/>
      <c r="L30" s="38" t="s">
        <v>73</v>
      </c>
      <c r="M30" s="38"/>
      <c r="N30" s="33" t="s">
        <v>74</v>
      </c>
      <c r="O30" s="33"/>
      <c r="P30" s="33"/>
      <c r="Q30" s="33"/>
      <c r="R30" s="33"/>
      <c r="S30" s="33"/>
    </row>
    <row r="31" customHeight="1" spans="1:22"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8"/>
      <c r="M31" s="38"/>
      <c r="N31" s="33"/>
      <c r="O31" s="33"/>
      <c r="P31" s="33"/>
      <c r="Q31" s="33"/>
      <c r="R31" s="33"/>
      <c r="S31" s="33"/>
    </row>
    <row r="32" customHeight="1" spans="1:22">
      <c r="B32" s="91"/>
      <c r="C32" s="91"/>
      <c r="D32" s="91"/>
      <c r="E32" s="91"/>
      <c r="F32" s="91"/>
      <c r="G32" s="91"/>
      <c r="H32" s="91"/>
      <c r="I32" s="91"/>
      <c r="J32" s="91"/>
    </row>
    <row r="33" customHeight="1" spans="2:14">
      <c r="B33" s="41" t="s">
        <v>75</v>
      </c>
      <c r="C33" s="41"/>
      <c r="D33" s="41"/>
      <c r="E33" s="41"/>
      <c r="F33" s="41"/>
      <c r="G33" s="41"/>
      <c r="H33" s="41"/>
      <c r="I33" s="41"/>
      <c r="J33" s="41"/>
    </row>
    <row r="34" customHeight="1" spans="2:14">
      <c r="M34" s="92"/>
      <c r="N34" s="92"/>
    </row>
    <row r="35" customHeight="1" spans="2:14">
      <c r="M35" s="92"/>
      <c r="N35" s="92"/>
    </row>
  </sheetData>
  <mergeCells count="34">
    <mergeCell ref="A4:B4"/>
    <mergeCell ref="C4:D4"/>
    <mergeCell ref="E4:F4"/>
    <mergeCell ref="G4:H4"/>
    <mergeCell ref="A5:B5"/>
    <mergeCell ref="C5:D5"/>
    <mergeCell ref="E5:F5"/>
    <mergeCell ref="G5:H5"/>
    <mergeCell ref="K5:P5"/>
    <mergeCell ref="A6:B6"/>
    <mergeCell ref="C6:D6"/>
    <mergeCell ref="E6:F6"/>
    <mergeCell ref="G6:H6"/>
    <mergeCell ref="A7:V7"/>
    <mergeCell ref="Q21:V21"/>
    <mergeCell ref="B24:C24"/>
    <mergeCell ref="D24:E24"/>
    <mergeCell ref="B25:C25"/>
    <mergeCell ref="D25:E25"/>
    <mergeCell ref="B33:J33"/>
    <mergeCell ref="J8:J20"/>
    <mergeCell ref="K1:K4"/>
    <mergeCell ref="L1:L2"/>
    <mergeCell ref="L3:L4"/>
    <mergeCell ref="B30:C31"/>
    <mergeCell ref="L30:M31"/>
    <mergeCell ref="B28:C29"/>
    <mergeCell ref="A1:C3"/>
    <mergeCell ref="D1:H3"/>
    <mergeCell ref="D28:S29"/>
    <mergeCell ref="N30:S31"/>
    <mergeCell ref="D30:K31"/>
    <mergeCell ref="M1:P2"/>
    <mergeCell ref="M3:P4"/>
  </mergeCells>
  <pageMargins left="0.7" right="0.7" top="0.75" bottom="0.75" header="0.3" footer="0.3"/>
  <pageSetup paperSize="9" scale="4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100W-5000K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钦</cp:lastModifiedBy>
  <dcterms:created xsi:type="dcterms:W3CDTF">2006-09-16T00:00:00Z</dcterms:created>
  <dcterms:modified xsi:type="dcterms:W3CDTF">2026-01-26T15:27:05Z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2D8FC55BB17948A1A76EAD1D2AD2275B_13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